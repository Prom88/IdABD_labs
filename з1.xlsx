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20" windowWidth="28740" windowHeight="12525"/>
  </bookViews>
  <sheets>
    <sheet name="Лист1" sheetId="1" r:id="rId1"/>
    <sheet name="Лист2" sheetId="2" r:id="rId2"/>
    <sheet name="Лист3" sheetId="3" r:id="rId3"/>
  </sheets>
  <definedNames>
    <definedName name="task1_19_8_428647" localSheetId="0">Лист1!$A$1:$E$16</definedName>
  </definedNames>
  <calcPr calcId="124519"/>
</workbook>
</file>

<file path=xl/calcChain.xml><?xml version="1.0" encoding="utf-8"?>
<calcChain xmlns="http://schemas.openxmlformats.org/spreadsheetml/2006/main">
  <c r="K18" i="1"/>
  <c r="E14"/>
  <c r="K14"/>
  <c r="K10"/>
  <c r="J14"/>
  <c r="J13"/>
  <c r="J12"/>
  <c r="J11"/>
  <c r="J10"/>
  <c r="I10"/>
  <c r="H14"/>
  <c r="H10"/>
  <c r="H11"/>
  <c r="H12"/>
  <c r="H13"/>
  <c r="G11"/>
  <c r="G10"/>
  <c r="E18"/>
  <c r="I11"/>
  <c r="I12"/>
  <c r="I13"/>
  <c r="I14"/>
  <c r="G12"/>
  <c r="G13"/>
  <c r="G14"/>
  <c r="J18" l="1"/>
  <c r="K11" s="1"/>
  <c r="E10"/>
  <c r="E11" s="1"/>
  <c r="K12"/>
  <c r="K13"/>
  <c r="E12" l="1"/>
  <c r="E13"/>
</calcChain>
</file>

<file path=xl/connections.xml><?xml version="1.0" encoding="utf-8"?>
<connections xmlns="http://schemas.openxmlformats.org/spreadsheetml/2006/main">
  <connection id="1" name="task1_19_8_428647" type="6" refreshedVersion="3" background="1" saveData="1">
    <textPr codePage="65001" sourceFile="C:\Users\Student16\Desktop\Лабораторные работы\Задание 1\task1_19_8_428647.csv" decimal="," thousands=" 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<sst xmlns="http://schemas.openxmlformats.org/spreadsheetml/2006/main" count="27" uniqueCount="27">
  <si>
    <t>Точка маршрута</t>
  </si>
  <si>
    <t>Рейс 1</t>
  </si>
  <si>
    <t>Рейс 2</t>
  </si>
  <si>
    <t>Рейс 3</t>
  </si>
  <si>
    <t>Рейс 4</t>
  </si>
  <si>
    <t>28-29-Я ЛИНИИ</t>
  </si>
  <si>
    <t>22-23-Я ЛИНИИ</t>
  </si>
  <si>
    <t>МУЗЕЙ ГОРОДСКОГО ТРАНСПОРТА</t>
  </si>
  <si>
    <t>12-13-Я ЛИНИИ</t>
  </si>
  <si>
    <t>МЕТРО "ВАСИЛЕОСТРОВСКАЯ"</t>
  </si>
  <si>
    <t>1-Я И КАДЕТСКАЯ ЛИНИИ</t>
  </si>
  <si>
    <t>1-Я И КАДЕТСКАЯ ЛИНИИ. МЕТРО "СПОРТИВНАЯ"</t>
  </si>
  <si>
    <t>МЕТРО "СПОРТИВНАЯ"</t>
  </si>
  <si>
    <t>КРОНВЕРКСКИЙ ПРОСПЕКТ</t>
  </si>
  <si>
    <t>ЗВЕРИНСКАЯ УЛ.</t>
  </si>
  <si>
    <t>ВВЕДЕНСКАЯ УЛ.</t>
  </si>
  <si>
    <t>СЫТНЫЙ РЫНОК</t>
  </si>
  <si>
    <t>МЕТРО "ГОРЬКОВСКАЯ"</t>
  </si>
  <si>
    <t>ТРОИЦКАЯ ПЛ. П.С.</t>
  </si>
  <si>
    <t>УЛИЦА ЧАПАЕВА</t>
  </si>
  <si>
    <t>прод. 1</t>
  </si>
  <si>
    <t>прод. 2</t>
  </si>
  <si>
    <t>прод. 3</t>
  </si>
  <si>
    <t>сред</t>
  </si>
  <si>
    <t>ПРОПУЩ.</t>
  </si>
  <si>
    <t>СУММ. СРЕД</t>
  </si>
  <si>
    <t>предпол.</t>
  </si>
</sst>
</file>

<file path=xl/styles.xml><?xml version="1.0" encoding="utf-8"?>
<styleSheet xmlns="http://schemas.openxmlformats.org/spreadsheetml/2006/main">
  <fonts count="1">
    <font>
      <sz val="11"/>
      <color theme="1"/>
      <name val="Times New Roman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21" fontId="0" fillId="2" borderId="0" xfId="0" applyNumberFormat="1" applyFill="1"/>
    <xf numFmtId="46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ask1_19_8_428647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>
      <selection activeCell="K1" sqref="K1"/>
    </sheetView>
  </sheetViews>
  <sheetFormatPr defaultRowHeight="15"/>
  <cols>
    <col min="1" max="1" width="54.7109375" bestFit="1" customWidth="1"/>
    <col min="2" max="5" width="7.85546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20</v>
      </c>
      <c r="H1" t="s">
        <v>21</v>
      </c>
      <c r="I1" t="s">
        <v>22</v>
      </c>
      <c r="J1" t="s">
        <v>23</v>
      </c>
      <c r="K1" t="s">
        <v>26</v>
      </c>
    </row>
    <row r="2" spans="1:11">
      <c r="A2" t="s">
        <v>5</v>
      </c>
      <c r="B2" s="1">
        <v>0.42592592592592587</v>
      </c>
      <c r="C2" s="1">
        <v>0.4368055555555555</v>
      </c>
      <c r="D2" s="1">
        <v>0.44699074074074074</v>
      </c>
      <c r="E2" s="1">
        <v>0.45567129629629632</v>
      </c>
    </row>
    <row r="3" spans="1:11">
      <c r="A3" t="s">
        <v>6</v>
      </c>
      <c r="B3" s="1">
        <v>0.42650462962962959</v>
      </c>
      <c r="C3" s="1">
        <v>0.43738425925925922</v>
      </c>
      <c r="D3" s="1">
        <v>0.44768518518518513</v>
      </c>
      <c r="E3" s="1">
        <v>0.45636574074074071</v>
      </c>
    </row>
    <row r="4" spans="1:11">
      <c r="A4" t="s">
        <v>7</v>
      </c>
      <c r="B4" s="1">
        <v>0.42777777777777781</v>
      </c>
      <c r="C4" s="1">
        <v>0.43912037037037038</v>
      </c>
      <c r="D4" s="1">
        <v>0.44976851851851851</v>
      </c>
      <c r="E4" s="1">
        <v>0.45833333333333331</v>
      </c>
    </row>
    <row r="5" spans="1:11">
      <c r="A5" t="s">
        <v>8</v>
      </c>
      <c r="B5" s="1">
        <v>0.42905092592592592</v>
      </c>
      <c r="C5" s="1">
        <v>0.44027777777777777</v>
      </c>
      <c r="D5" s="1">
        <v>0.45104166666666662</v>
      </c>
      <c r="E5" s="1">
        <v>0.4597222222222222</v>
      </c>
    </row>
    <row r="6" spans="1:11">
      <c r="A6" t="s">
        <v>9</v>
      </c>
      <c r="B6" s="1">
        <v>0.4309027777777778</v>
      </c>
      <c r="C6" s="1">
        <v>0.44166666666666665</v>
      </c>
      <c r="D6" s="1">
        <v>0.4528935185185185</v>
      </c>
      <c r="E6" s="1">
        <v>0.46122685185185186</v>
      </c>
    </row>
    <row r="7" spans="1:11">
      <c r="A7" t="s">
        <v>10</v>
      </c>
      <c r="B7" s="1">
        <v>0.43182870370370369</v>
      </c>
      <c r="C7" s="1">
        <v>0.44282407407407409</v>
      </c>
      <c r="D7" s="1">
        <v>0.45358796296296294</v>
      </c>
      <c r="E7" s="1">
        <v>0.46238425925925924</v>
      </c>
    </row>
    <row r="8" spans="1:11">
      <c r="A8" t="s">
        <v>11</v>
      </c>
      <c r="B8" s="1">
        <v>0.43287037037037041</v>
      </c>
      <c r="C8" s="1">
        <v>0.44375000000000003</v>
      </c>
      <c r="D8" s="1">
        <v>0.45439814814814811</v>
      </c>
      <c r="E8" s="1">
        <v>0.46307870370370369</v>
      </c>
    </row>
    <row r="9" spans="1:11">
      <c r="A9" t="s">
        <v>12</v>
      </c>
      <c r="B9" s="1">
        <v>0.43402777777777773</v>
      </c>
      <c r="C9" s="1">
        <v>0.4445601851851852</v>
      </c>
      <c r="D9" s="1">
        <v>0.45520833333333338</v>
      </c>
      <c r="E9" s="1">
        <v>0.46423611111111113</v>
      </c>
    </row>
    <row r="10" spans="1:11">
      <c r="A10" t="s">
        <v>13</v>
      </c>
      <c r="B10" s="1">
        <v>0.43506944444444445</v>
      </c>
      <c r="C10" s="1">
        <v>0.44537037037037036</v>
      </c>
      <c r="D10" s="1">
        <v>0.45601851851851855</v>
      </c>
      <c r="E10" s="2">
        <f>E9+K10</f>
        <v>0.4653146950830141</v>
      </c>
      <c r="G10" s="1">
        <f>B10-B9</f>
        <v>1.0416666666667185E-3</v>
      </c>
      <c r="H10" s="1">
        <f>C10-C9</f>
        <v>8.101851851851638E-4</v>
      </c>
      <c r="I10" s="1">
        <f>D10-D9</f>
        <v>8.101851851851638E-4</v>
      </c>
      <c r="J10" s="1">
        <f>AVERAGE(G10:I10)</f>
        <v>8.8734567901234873E-4</v>
      </c>
      <c r="K10" s="3">
        <f>$E$18 * J10 / $J$18</f>
        <v>1.0785839719029476E-3</v>
      </c>
    </row>
    <row r="11" spans="1:11">
      <c r="A11" t="s">
        <v>14</v>
      </c>
      <c r="B11" s="1">
        <v>0.43599537037037034</v>
      </c>
      <c r="C11" s="1">
        <v>0.44629629629629625</v>
      </c>
      <c r="D11" s="1">
        <v>0.45671296296296293</v>
      </c>
      <c r="E11" s="2">
        <f>E10+K11</f>
        <v>0.46634638409961687</v>
      </c>
      <c r="G11" s="1">
        <f>B11-B10</f>
        <v>9.2592592592588563E-4</v>
      </c>
      <c r="H11" s="1">
        <f t="shared" ref="H11:H13" si="0">C11-C10</f>
        <v>9.2592592592588563E-4</v>
      </c>
      <c r="I11" s="1">
        <f t="shared" ref="I11:I14" si="1">D11-D10</f>
        <v>6.9444444444438647E-4</v>
      </c>
      <c r="J11" s="1">
        <f>AVERAGE(G11:I11)</f>
        <v>8.4876543209871924E-4</v>
      </c>
      <c r="K11" s="3">
        <f t="shared" ref="K11:K13" si="2">$E$18 * J11 / $J$18</f>
        <v>1.0316890166027599E-3</v>
      </c>
    </row>
    <row r="12" spans="1:11">
      <c r="A12" t="s">
        <v>15</v>
      </c>
      <c r="B12" s="1">
        <v>0.4368055555555555</v>
      </c>
      <c r="C12" s="1">
        <v>0.44710648148148152</v>
      </c>
      <c r="D12" s="1">
        <v>0.45775462962962959</v>
      </c>
      <c r="E12" s="2">
        <f>E11+K12</f>
        <v>0.46742496807151984</v>
      </c>
      <c r="G12" s="1">
        <f t="shared" ref="G12:G14" si="3">B12-B11</f>
        <v>8.101851851851638E-4</v>
      </c>
      <c r="H12" s="1">
        <f t="shared" si="0"/>
        <v>8.1018518518527483E-4</v>
      </c>
      <c r="I12" s="1">
        <f t="shared" si="1"/>
        <v>1.041666666666663E-3</v>
      </c>
      <c r="J12" s="1">
        <f>AVERAGE(G12:I12)</f>
        <v>8.8734567901236716E-4</v>
      </c>
      <c r="K12" s="3">
        <f t="shared" si="2"/>
        <v>1.0785839719029699E-3</v>
      </c>
    </row>
    <row r="13" spans="1:11">
      <c r="A13" t="s">
        <v>16</v>
      </c>
      <c r="B13" s="1">
        <v>0.43796296296296294</v>
      </c>
      <c r="C13" s="1">
        <v>0.44826388888888885</v>
      </c>
      <c r="D13" s="1">
        <v>0.45844907407407409</v>
      </c>
      <c r="E13" s="2">
        <f t="shared" ref="E13" si="4">E12+K13</f>
        <v>0.46864423690932316</v>
      </c>
      <c r="G13" s="1">
        <f t="shared" si="3"/>
        <v>1.1574074074074403E-3</v>
      </c>
      <c r="H13" s="1">
        <f t="shared" si="0"/>
        <v>1.1574074074073293E-3</v>
      </c>
      <c r="I13" s="1">
        <f t="shared" si="1"/>
        <v>6.9444444444449749E-4</v>
      </c>
      <c r="J13" s="1">
        <f>AVERAGE(G13:I13)</f>
        <v>1.0030864197530891E-3</v>
      </c>
      <c r="K13" s="3">
        <f t="shared" si="2"/>
        <v>1.2192688378033312E-3</v>
      </c>
    </row>
    <row r="14" spans="1:11">
      <c r="A14" t="s">
        <v>17</v>
      </c>
      <c r="B14" s="1">
        <v>0.43877314814814811</v>
      </c>
      <c r="C14" s="1">
        <v>0.44930555555555557</v>
      </c>
      <c r="D14" s="1">
        <v>0.45914351851851848</v>
      </c>
      <c r="E14" s="2">
        <f>E13+K14</f>
        <v>0.469675925925926</v>
      </c>
      <c r="G14" s="1">
        <f t="shared" si="3"/>
        <v>8.101851851851638E-4</v>
      </c>
      <c r="H14" s="1">
        <f>C14-C13</f>
        <v>1.0416666666667185E-3</v>
      </c>
      <c r="I14" s="1">
        <f t="shared" si="1"/>
        <v>6.9444444444438647E-4</v>
      </c>
      <c r="J14" s="1">
        <f>AVERAGE(G14:I14)</f>
        <v>8.4876543209875621E-4</v>
      </c>
      <c r="K14" s="3">
        <f>$E$18 * J14 / $J$18</f>
        <v>1.0316890166028048E-3</v>
      </c>
    </row>
    <row r="15" spans="1:11">
      <c r="A15" t="s">
        <v>18</v>
      </c>
      <c r="B15" s="1">
        <v>0.43969907407407405</v>
      </c>
      <c r="C15" s="1">
        <v>0.45011574074074073</v>
      </c>
      <c r="D15" s="1">
        <v>0.45983796296296298</v>
      </c>
      <c r="E15" s="1">
        <v>0.46967592592592594</v>
      </c>
    </row>
    <row r="16" spans="1:11">
      <c r="A16" t="s">
        <v>19</v>
      </c>
      <c r="B16" s="1">
        <v>0.44039351851851855</v>
      </c>
      <c r="C16" s="1">
        <v>0.45104166666666662</v>
      </c>
      <c r="D16" s="1">
        <v>0.46064814814814814</v>
      </c>
      <c r="E16" s="1">
        <v>0.4704861111111111</v>
      </c>
    </row>
    <row r="18" spans="4:11">
      <c r="D18" t="s">
        <v>24</v>
      </c>
      <c r="E18" s="1">
        <f>E15-E9</f>
        <v>5.439814814814814E-3</v>
      </c>
      <c r="I18" t="s">
        <v>25</v>
      </c>
      <c r="J18" s="3">
        <f>SUM(J10:J14)</f>
        <v>4.475308641975281E-3</v>
      </c>
      <c r="K18" s="3">
        <f>SUM(K10:K14)</f>
        <v>5.4398148148148131E-3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Лист1!task1_19_8_428647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Тимохин</dc:creator>
  <cp:lastModifiedBy>Тимохин</cp:lastModifiedBy>
  <dcterms:created xsi:type="dcterms:W3CDTF">2026-09-03T12:22:54Z</dcterms:created>
  <dcterms:modified xsi:type="dcterms:W3CDTF">2026-09-03T12:44:44Z</dcterms:modified>
</cp:coreProperties>
</file>